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SMED_Llenadora" sheetId="1" state="visible" r:id="rId1"/>
    <sheet xmlns:r="http://schemas.openxmlformats.org/officeDocument/2006/relationships" name="Resumen_Etapas_Shingo" sheetId="2" state="visible" r:id="rId2"/>
    <sheet xmlns:r="http://schemas.openxmlformats.org/officeDocument/2006/relationships" name="Impacto_Financiero_Planta" sheetId="3" state="visible" r:id="rId3"/>
    <sheet xmlns:r="http://schemas.openxmlformats.org/officeDocument/2006/relationships" name="Auditoria_AMFE_Ries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 &quot;min&quot;"/>
    <numFmt numFmtId="167" formatCode="$#,##0"/>
  </numFmts>
  <fonts count="12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Segoe UI"/>
      <b val="1"/>
      <color rgb="00FFFFFF"/>
      <sz val="14"/>
    </font>
    <font>
      <name val="Segoe UI"/>
      <i val="1"/>
      <color rgb="00333333"/>
      <sz val="10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B4C6E7"/>
        <bgColor rgb="00B4C6E7"/>
      </patternFill>
    </fill>
    <fill>
      <patternFill patternType="solid">
        <fgColor rgb="001B365D"/>
        <bgColor rgb="001B365D"/>
      </patternFill>
    </fill>
    <fill>
      <patternFill patternType="solid">
        <fgColor rgb="00008080"/>
        <bgColor rgb="00008080"/>
      </patternFill>
    </fill>
    <fill>
      <patternFill patternType="solid">
        <fgColor rgb="002C3E50"/>
        <bgColor rgb="002C3E50"/>
      </patternFill>
    </fill>
    <fill>
      <patternFill patternType="solid">
        <fgColor rgb="00FADBD8"/>
        <bgColor rgb="00FADBD8"/>
      </patternFill>
    </fill>
    <fill>
      <patternFill patternType="solid">
        <fgColor rgb="00D4EFDF"/>
        <bgColor rgb="00D4EFDF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0" fillId="4" borderId="2" pivotButton="0" quotePrefix="0" xfId="0"/>
    <xf numFmtId="0" fontId="5" fillId="4" borderId="2" pivotButton="0" quotePrefix="0" xfId="0"/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6" borderId="0" pivotButton="0" quotePrefix="0" xfId="0"/>
    <xf numFmtId="0" fontId="9" fillId="7" borderId="0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/>
    </xf>
    <xf numFmtId="0" fontId="11" fillId="8" borderId="3" applyAlignment="1" pivotButton="0" quotePrefix="0" xfId="0">
      <alignment horizontal="center" vertical="center"/>
    </xf>
    <xf numFmtId="0" fontId="11" fillId="9" borderId="3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0" borderId="3" pivotButton="0" quotePrefix="0" xfId="0"/>
    <xf numFmtId="167" fontId="10" fillId="0" borderId="3" applyAlignment="1" pivotButton="0" quotePrefix="0" xfId="0">
      <alignment horizontal="right" vertical="center"/>
    </xf>
    <xf numFmtId="0" fontId="11" fillId="0" borderId="3" applyAlignment="1" pivotButton="0" quotePrefix="0" xfId="0">
      <alignment horizontal="right" vertical="center"/>
    </xf>
    <xf numFmtId="0" fontId="0" fillId="0" borderId="3" pivotButton="0" quotePrefix="0" xfId="0"/>
    <xf numFmtId="167" fontId="11" fillId="0" borderId="3" applyAlignment="1" pivotButton="0" quotePrefix="0" xfId="0">
      <alignment horizontal="right" vertical="center"/>
    </xf>
    <xf numFmtId="167" fontId="11" fillId="9" borderId="3" applyAlignment="1" pivotButton="0" quotePrefix="0" xfId="0">
      <alignment horizontal="right" vertical="center"/>
    </xf>
    <xf numFmtId="0" fontId="11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16" customWidth="1" min="4" max="4"/>
    <col width="14" customWidth="1" min="5" max="5"/>
    <col width="48" customWidth="1" min="6" max="6"/>
    <col width="18" customWidth="1" min="7" max="7"/>
    <col width="15" customWidth="1" min="8" max="8"/>
    <col width="15" customWidth="1" min="9" max="9"/>
    <col width="13" customWidth="1" min="10" max="10"/>
    <col width="30" customWidth="1" min="11" max="11"/>
  </cols>
  <sheetData>
    <row r="1">
      <c r="A1" s="1" t="inlineStr">
        <is>
          <t>MATRIZ TÉCNICA DE REDUCCIÓN DE TIEMPOS DE CAMBIO (SMED)</t>
        </is>
      </c>
    </row>
    <row r="2">
      <c r="A2" s="2" t="inlineStr">
        <is>
          <t>Activo Crítico: Biscuit Filling Machine (Cuello de Botella - Línea 1) | Cambio de Receta: Custard Creams a Jammy Creams</t>
        </is>
      </c>
    </row>
    <row r="4" ht="28" customHeight="1">
      <c r="A4" s="3" t="inlineStr">
        <is>
          <t>Paso #</t>
        </is>
      </c>
      <c r="B4" s="3" t="inlineStr">
        <is>
          <t>Descripción Operativa de la Tarea</t>
        </is>
      </c>
      <c r="C4" s="3" t="inlineStr">
        <is>
          <t>Responsable</t>
        </is>
      </c>
      <c r="D4" s="3" t="inlineStr">
        <is>
          <t>Clasificación Inicial (Antes)</t>
        </is>
      </c>
      <c r="E4" s="3" t="inlineStr">
        <is>
          <t>Tiempo Antes (min)</t>
        </is>
      </c>
      <c r="F4" s="3" t="inlineStr">
        <is>
          <t>Estrategia de Optimización Lean / SMED</t>
        </is>
      </c>
      <c r="G4" s="3" t="inlineStr">
        <is>
          <t>Clasificación Propuesta (Después)</t>
        </is>
      </c>
      <c r="H4" s="3" t="inlineStr">
        <is>
          <t>Tiempo Después (min)</t>
        </is>
      </c>
      <c r="I4" s="3" t="inlineStr">
        <is>
          <t>Minutos Ahorrados</t>
        </is>
      </c>
      <c r="J4" s="3" t="inlineStr">
        <is>
          <t>% Reducción</t>
        </is>
      </c>
      <c r="K4" s="3" t="inlineStr">
        <is>
          <t>Técnica de Ingeniería Aplicada</t>
        </is>
      </c>
    </row>
    <row r="5" ht="22" customHeight="1">
      <c r="A5" s="4" t="n">
        <v>1</v>
      </c>
      <c r="B5" s="5" t="inlineStr">
        <is>
          <t>Parada de máquina, corte de alimentación y aplicación LOTO</t>
        </is>
      </c>
      <c r="C5" s="4" t="inlineStr">
        <is>
          <t>Operador 1</t>
        </is>
      </c>
      <c r="D5" s="4" t="inlineStr">
        <is>
          <t>Interna</t>
        </is>
      </c>
      <c r="E5" s="6" t="n">
        <v>3</v>
      </c>
      <c r="F5" s="5" t="inlineStr">
        <is>
          <t>Mantener como interna por seguridad. Check-list visual estandarizado.</t>
        </is>
      </c>
      <c r="G5" s="4" t="inlineStr">
        <is>
          <t>Interna</t>
        </is>
      </c>
      <c r="H5" s="6" t="n">
        <v>2</v>
      </c>
      <c r="I5" s="6">
        <f>E5-H5</f>
        <v/>
      </c>
      <c r="J5" s="7">
        <f>I5/E5</f>
        <v/>
      </c>
      <c r="K5" s="5" t="inlineStr">
        <is>
          <t>Estandarización 5S</t>
        </is>
      </c>
    </row>
    <row r="6" ht="22" customHeight="1">
      <c r="A6" s="4" t="n">
        <v>2</v>
      </c>
      <c r="B6" s="5" t="inlineStr">
        <is>
          <t>Buscar herramientas manuales (llaves fijas y Allen) en taller mecánico</t>
        </is>
      </c>
      <c r="C6" s="4" t="inlineStr">
        <is>
          <t>Operador 2</t>
        </is>
      </c>
      <c r="D6" s="4" t="inlineStr">
        <is>
          <t>Interna</t>
        </is>
      </c>
      <c r="E6" s="6" t="n">
        <v>5</v>
      </c>
      <c r="F6" s="5" t="inlineStr">
        <is>
          <t>Convertir en Externa. Carro móvil 5S con herramientas fijadas al pie de máquina antes de apagar.</t>
        </is>
      </c>
      <c r="G6" s="8" t="inlineStr">
        <is>
          <t>Externa</t>
        </is>
      </c>
      <c r="H6" s="9" t="n">
        <v>0</v>
      </c>
      <c r="I6" s="6">
        <f>E6-H6</f>
        <v/>
      </c>
      <c r="J6" s="7">
        <f>I6/E6</f>
        <v/>
      </c>
      <c r="K6" s="5" t="inlineStr">
        <is>
          <t>Conversión a Externa (OED)</t>
        </is>
      </c>
    </row>
    <row r="7" ht="22" customHeight="1">
      <c r="A7" s="4" t="n">
        <v>3</v>
      </c>
      <c r="B7" s="5" t="inlineStr">
        <is>
          <t>Esperar por la nueva receta de crema y mermelada desde almacén</t>
        </is>
      </c>
      <c r="C7" s="4" t="inlineStr">
        <is>
          <t>Operador 1</t>
        </is>
      </c>
      <c r="D7" s="4" t="inlineStr">
        <is>
          <t>Interna</t>
        </is>
      </c>
      <c r="E7" s="6" t="n">
        <v>6</v>
      </c>
      <c r="F7" s="5" t="inlineStr">
        <is>
          <t>Convertir en Externa. Tanque pulmón pre-posicionado y atemperado a 28°C 15 min antes de fin de lote.</t>
        </is>
      </c>
      <c r="G7" s="8" t="inlineStr">
        <is>
          <t>Externa</t>
        </is>
      </c>
      <c r="H7" s="9" t="n">
        <v>0</v>
      </c>
      <c r="I7" s="6">
        <f>E7-H7</f>
        <v/>
      </c>
      <c r="J7" s="7">
        <f>I7/E7</f>
        <v/>
      </c>
      <c r="K7" s="5" t="inlineStr">
        <is>
          <t>Conversión a Externa (OED)</t>
        </is>
      </c>
    </row>
    <row r="8" ht="22" customHeight="1">
      <c r="A8" s="4" t="n">
        <v>4</v>
      </c>
      <c r="B8" s="5" t="inlineStr">
        <is>
          <t>Drenar y purgar residuos de crema del lote anterior en la tolva</t>
        </is>
      </c>
      <c r="C8" s="4" t="inlineStr">
        <is>
          <t>Operador 1</t>
        </is>
      </c>
      <c r="D8" s="4" t="inlineStr">
        <is>
          <t>Interna</t>
        </is>
      </c>
      <c r="E8" s="6" t="n">
        <v>4</v>
      </c>
      <c r="F8" s="5" t="inlineStr">
        <is>
          <t>Mantener interna. Se instala válvula de purga rápida con manguera de desagüe directo.</t>
        </is>
      </c>
      <c r="G8" s="4" t="inlineStr">
        <is>
          <t>Interna</t>
        </is>
      </c>
      <c r="H8" s="6" t="n">
        <v>2.5</v>
      </c>
      <c r="I8" s="6">
        <f>E8-H8</f>
        <v/>
      </c>
      <c r="J8" s="7">
        <f>I8/E8</f>
        <v/>
      </c>
      <c r="K8" s="5" t="inlineStr">
        <is>
          <t>Simplificación Técnica</t>
        </is>
      </c>
    </row>
    <row r="9" ht="22" customHeight="1">
      <c r="A9" s="4" t="n">
        <v>5</v>
      </c>
      <c r="B9" s="5" t="inlineStr">
        <is>
          <t>Desmontar boquillas dosificadoras y mangueras con llave fija</t>
        </is>
      </c>
      <c r="C9" s="4" t="inlineStr">
        <is>
          <t>Operador 2</t>
        </is>
      </c>
      <c r="D9" s="4" t="inlineStr">
        <is>
          <t>Interna</t>
        </is>
      </c>
      <c r="E9" s="6" t="n">
        <v>6</v>
      </c>
      <c r="F9" s="5" t="inlineStr">
        <is>
          <t>Optimizar interna. Reemplazar pernos roscados por abrazaderas sanitarias Tri-Clamp de 1/4 vuelta.</t>
        </is>
      </c>
      <c r="G9" s="4" t="inlineStr">
        <is>
          <t>Interna</t>
        </is>
      </c>
      <c r="H9" s="6" t="n">
        <v>1.5</v>
      </c>
      <c r="I9" s="6">
        <f>E9-H9</f>
        <v/>
      </c>
      <c r="J9" s="7">
        <f>I9/E9</f>
        <v/>
      </c>
      <c r="K9" s="5" t="inlineStr">
        <is>
          <t>Sujeción Rápida Sin Llaves</t>
        </is>
      </c>
    </row>
    <row r="10" ht="22" customHeight="1">
      <c r="A10" s="4" t="n">
        <v>6</v>
      </c>
      <c r="B10" s="5" t="inlineStr">
        <is>
          <t>Llevar boquillas sucias a zona de lavado y esperar lavado manual</t>
        </is>
      </c>
      <c r="C10" s="4" t="inlineStr">
        <is>
          <t>Operador 2</t>
        </is>
      </c>
      <c r="D10" s="4" t="inlineStr">
        <is>
          <t>Interna</t>
        </is>
      </c>
      <c r="E10" s="6" t="n">
        <v>8</v>
      </c>
      <c r="F10" s="5" t="inlineStr">
        <is>
          <t>Convertir en Externa. Cabezal gemelo de reserva pre-lavado y pre-ensamblado listo al pie de máquina.</t>
        </is>
      </c>
      <c r="G10" s="8" t="inlineStr">
        <is>
          <t>Externa</t>
        </is>
      </c>
      <c r="H10" s="9" t="n">
        <v>0</v>
      </c>
      <c r="I10" s="6">
        <f>E10-H10</f>
        <v/>
      </c>
      <c r="J10" s="7">
        <f>I10/E10</f>
        <v/>
      </c>
      <c r="K10" s="5" t="inlineStr">
        <is>
          <t>Conjunto Gemelo Pre-lavado</t>
        </is>
      </c>
    </row>
    <row r="11" ht="22" customHeight="1">
      <c r="A11" s="4" t="n">
        <v>7</v>
      </c>
      <c r="B11" s="5" t="inlineStr">
        <is>
          <t>Instalar nuevo juego de boquillas dosificadoras limpias</t>
        </is>
      </c>
      <c r="C11" s="4" t="inlineStr">
        <is>
          <t>Operador 1</t>
        </is>
      </c>
      <c r="D11" s="4" t="inlineStr">
        <is>
          <t>Interna</t>
        </is>
      </c>
      <c r="E11" s="6" t="n">
        <v>5</v>
      </c>
      <c r="F11" s="5" t="inlineStr">
        <is>
          <t>Montaje rápido del cabezal gemelo limpio mediante guías deslizantes y clamp rápido.</t>
        </is>
      </c>
      <c r="G11" s="4" t="inlineStr">
        <is>
          <t>Interna</t>
        </is>
      </c>
      <c r="H11" s="6" t="n">
        <v>2</v>
      </c>
      <c r="I11" s="6">
        <f>E11-H11</f>
        <v/>
      </c>
      <c r="J11" s="7">
        <f>I11/E11</f>
        <v/>
      </c>
      <c r="K11" s="5" t="inlineStr">
        <is>
          <t>Acoplamiento Rápido</t>
        </is>
      </c>
    </row>
    <row r="12" ht="22" customHeight="1">
      <c r="A12" s="4" t="n">
        <v>8</v>
      </c>
      <c r="B12" s="5" t="inlineStr">
        <is>
          <t>Conectar mangueras de alimentación de crema nueva</t>
        </is>
      </c>
      <c r="C12" s="4" t="inlineStr">
        <is>
          <t>Operador 2</t>
        </is>
      </c>
      <c r="D12" s="4" t="inlineStr">
        <is>
          <t>Interna</t>
        </is>
      </c>
      <c r="E12" s="6" t="n">
        <v>3</v>
      </c>
      <c r="F12" s="5" t="inlineStr">
        <is>
          <t>Conexión rápida push-fit sin tornillos con empaque sanitario integrado.</t>
        </is>
      </c>
      <c r="G12" s="4" t="inlineStr">
        <is>
          <t>Interna</t>
        </is>
      </c>
      <c r="H12" s="6" t="n">
        <v>1</v>
      </c>
      <c r="I12" s="6">
        <f>E12-H12</f>
        <v/>
      </c>
      <c r="J12" s="7">
        <f>I12/E12</f>
        <v/>
      </c>
      <c r="K12" s="5" t="inlineStr">
        <is>
          <t>Conexión Push-fit</t>
        </is>
      </c>
    </row>
    <row r="13" ht="22" customHeight="1">
      <c r="A13" s="4" t="n">
        <v>9</v>
      </c>
      <c r="B13" s="5" t="inlineStr">
        <is>
          <t>Carga de crema y cebado del sistema de inyección</t>
        </is>
      </c>
      <c r="C13" s="4" t="inlineStr">
        <is>
          <t>Operador 1</t>
        </is>
      </c>
      <c r="D13" s="4" t="inlineStr">
        <is>
          <t>Interna</t>
        </is>
      </c>
      <c r="E13" s="6" t="n">
        <v>4</v>
      </c>
      <c r="F13" s="5" t="inlineStr">
        <is>
          <t>Carga por gravedad desde tanque pulmón pre-elevado; purga con pulsador rápido.</t>
        </is>
      </c>
      <c r="G13" s="4" t="inlineStr">
        <is>
          <t>Interna</t>
        </is>
      </c>
      <c r="H13" s="6" t="n">
        <v>2</v>
      </c>
      <c r="I13" s="6">
        <f>E13-H13</f>
        <v/>
      </c>
      <c r="J13" s="7">
        <f>I13/E13</f>
        <v/>
      </c>
      <c r="K13" s="5" t="inlineStr">
        <is>
          <t>Alimentación Automática</t>
        </is>
      </c>
    </row>
    <row r="14" ht="22" customHeight="1">
      <c r="A14" s="4" t="n">
        <v>10</v>
      </c>
      <c r="B14" s="5" t="inlineStr">
        <is>
          <t>Ajuste y calibración manual de gramaje a prueba y error (pesaje)</t>
        </is>
      </c>
      <c r="C14" s="4" t="inlineStr">
        <is>
          <t>Operador 2</t>
        </is>
      </c>
      <c r="D14" s="4" t="inlineStr">
        <is>
          <t>Interna</t>
        </is>
      </c>
      <c r="E14" s="6" t="n">
        <v>6</v>
      </c>
      <c r="F14" s="5" t="inlineStr">
        <is>
          <t>Topes micrométricos fijos con codificación de color por receta. Cero calibración a ciegas.</t>
        </is>
      </c>
      <c r="G14" s="4" t="inlineStr">
        <is>
          <t>Interna</t>
        </is>
      </c>
      <c r="H14" s="6" t="n">
        <v>2</v>
      </c>
      <c r="I14" s="6">
        <f>E14-H14</f>
        <v/>
      </c>
      <c r="J14" s="7">
        <f>I14/E14</f>
        <v/>
      </c>
      <c r="K14" s="5" t="inlineStr">
        <is>
          <t>Calibración Rígida (Galgas)</t>
        </is>
      </c>
    </row>
    <row r="15" ht="22" customHeight="1">
      <c r="A15" s="4" t="n">
        <v>11</v>
      </c>
      <c r="B15" s="5" t="inlineStr">
        <is>
          <t>Despeje de línea, retiro de LOTO y arranque de lote</t>
        </is>
      </c>
      <c r="C15" s="4" t="inlineStr">
        <is>
          <t>Operador 1</t>
        </is>
      </c>
      <c r="D15" s="4" t="inlineStr">
        <is>
          <t>Interna</t>
        </is>
      </c>
      <c r="E15" s="6" t="n">
        <v>2</v>
      </c>
      <c r="F15" s="5" t="inlineStr">
        <is>
          <t>Checklist de 3 puntos en panel HMI antes de dar marcha.</t>
        </is>
      </c>
      <c r="G15" s="4" t="inlineStr">
        <is>
          <t>Interna</t>
        </is>
      </c>
      <c r="H15" s="6" t="n">
        <v>2</v>
      </c>
      <c r="I15" s="6">
        <f>E15-H15</f>
        <v/>
      </c>
      <c r="J15" s="7">
        <f>I15/E15</f>
        <v/>
      </c>
      <c r="K15" s="5" t="inlineStr">
        <is>
          <t>Estandarización</t>
        </is>
      </c>
    </row>
    <row r="16" ht="24" customHeight="1">
      <c r="A16" s="10" t="n"/>
      <c r="B16" s="11" t="inlineStr">
        <is>
          <t>TOTAL TIEMPO DE PARADA DE MÁQUINA (min)</t>
        </is>
      </c>
      <c r="C16" s="10" t="n"/>
      <c r="D16" s="10" t="n"/>
      <c r="E16" s="12">
        <f>SUM(E5:E15)</f>
        <v/>
      </c>
      <c r="F16" s="10" t="n"/>
      <c r="G16" s="10" t="n"/>
      <c r="H16" s="12">
        <f>SUM(H5:H15)</f>
        <v/>
      </c>
      <c r="I16" s="12">
        <f>E16-H16</f>
        <v/>
      </c>
      <c r="J16" s="13">
        <f>I16/E16</f>
        <v/>
      </c>
      <c r="K16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20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EVOLUCIÓN DEL TIEMPO DE CAMBIO SEGÚN LAS 4 ETAPAS DE SHIGEO SHINGO</t>
        </is>
      </c>
    </row>
    <row r="2">
      <c r="A2" s="2" t="inlineStr">
        <is>
          <t>Metodología Lean SMED aplicada al Cuello de Botella (Biscuit Filling Machine)</t>
        </is>
      </c>
    </row>
    <row r="4" ht="26" customHeight="1">
      <c r="A4" s="3" t="inlineStr">
        <is>
          <t>Etapa Metodológica Lean</t>
        </is>
      </c>
      <c r="B4" s="3" t="inlineStr">
        <is>
          <t>Descripción Operativa</t>
        </is>
      </c>
      <c r="C4" s="3" t="inlineStr">
        <is>
          <t>Tiempo Interno (Máq. Parada)</t>
        </is>
      </c>
      <c r="D4" s="3" t="inlineStr">
        <is>
          <t>Tiempo Externo (Máq. en Marcha)</t>
        </is>
      </c>
      <c r="E4" s="3" t="inlineStr">
        <is>
          <t>Tiempo Total de Proceso</t>
        </is>
      </c>
      <c r="F4" s="3" t="inlineStr">
        <is>
          <t>% Reducción vs Línea Base</t>
        </is>
      </c>
    </row>
    <row r="5" ht="24" customHeight="1">
      <c r="A5" s="14" t="inlineStr">
        <is>
          <t>Etapa 0: Situación Actual (Línea Base)</t>
        </is>
      </c>
      <c r="B5" s="5" t="inlineStr">
        <is>
          <t>Todas las tareas se realizan con la máquina apagada de forma desordenada.</t>
        </is>
      </c>
      <c r="C5" s="15" t="n">
        <v>45</v>
      </c>
      <c r="D5" s="15" t="n">
        <v>0</v>
      </c>
      <c r="E5" s="15" t="n">
        <v>45</v>
      </c>
      <c r="F5" s="16" t="n">
        <v>0</v>
      </c>
    </row>
    <row r="6" ht="24" customHeight="1">
      <c r="A6" s="14" t="inlineStr">
        <is>
          <t>Etapa 1: Separación Internas y Externas</t>
        </is>
      </c>
      <c r="B6" s="5" t="inlineStr">
        <is>
          <t>Preparación anticipada de crema, mangas y herramientas 5S antes de apagar.</t>
        </is>
      </c>
      <c r="C6" s="15" t="n">
        <v>32</v>
      </c>
      <c r="D6" s="15" t="n">
        <v>13</v>
      </c>
      <c r="E6" s="15" t="n">
        <v>45</v>
      </c>
      <c r="F6" s="16" t="n">
        <v>0.2889</v>
      </c>
    </row>
    <row r="7" ht="24" customHeight="1">
      <c r="A7" s="14" t="inlineStr">
        <is>
          <t>Etapa 2: Conversión Internas en Externas</t>
        </is>
      </c>
      <c r="B7" s="5" t="inlineStr">
        <is>
          <t>Uso de cabezal gemelo premontado y prelavado; lavado fuera de línea.</t>
        </is>
      </c>
      <c r="C7" s="15" t="n">
        <v>20</v>
      </c>
      <c r="D7" s="15" t="n">
        <v>25</v>
      </c>
      <c r="E7" s="15" t="n">
        <v>45</v>
      </c>
      <c r="F7" s="16" t="n">
        <v>0.5556</v>
      </c>
    </row>
    <row r="8" ht="24" customHeight="1">
      <c r="A8" s="14" t="inlineStr">
        <is>
          <t>Etapa 3: Optimización de Tareas Internas</t>
        </is>
      </c>
      <c r="B8" s="5" t="inlineStr">
        <is>
          <t>Abrazaderas Tri-Clamp 1/4 vuelta, conexiones push-fit y galgas de color.</t>
        </is>
      </c>
      <c r="C8" s="15" t="n">
        <v>15</v>
      </c>
      <c r="D8" s="15" t="n">
        <v>20</v>
      </c>
      <c r="E8" s="15" t="n">
        <v>35</v>
      </c>
      <c r="F8" s="17" t="n">
        <v>0.6667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6" customWidth="1" min="4" max="4"/>
    <col width="18" customWidth="1" min="5" max="5"/>
    <col width="45" customWidth="1" min="6" max="6"/>
  </cols>
  <sheetData>
    <row r="1">
      <c r="A1" s="1" t="inlineStr">
        <is>
          <t>MODELO FINANCIERO Y CASO DE NEGOCIO (CAPEX CERO)</t>
        </is>
      </c>
    </row>
    <row r="2">
      <c r="A2" s="2" t="inlineStr">
        <is>
          <t>Cuantificación del Retorno de Inversión y Capacidad Productiva Liberada en la Fábrica</t>
        </is>
      </c>
    </row>
    <row r="4" ht="26" customHeight="1">
      <c r="A4" s="3" t="inlineStr">
        <is>
          <t>Variable de Negocio / Indicador Financiero</t>
        </is>
      </c>
      <c r="B4" s="3" t="inlineStr">
        <is>
          <t>Unidad de Medida</t>
        </is>
      </c>
      <c r="C4" s="3" t="inlineStr">
        <is>
          <t>Valor Base (Actual)</t>
        </is>
      </c>
      <c r="D4" s="3" t="inlineStr">
        <is>
          <t>Valor Proyecto (SMED)</t>
        </is>
      </c>
      <c r="E4" s="3" t="inlineStr">
        <is>
          <t>Delta de Mejora (Impacto)</t>
        </is>
      </c>
      <c r="F4" s="3" t="inlineStr">
        <is>
          <t>Fórmula / Supuesto Operacional</t>
        </is>
      </c>
    </row>
    <row r="5" ht="22" customHeight="1">
      <c r="A5" s="14" t="inlineStr">
        <is>
          <t>Tiempo de Parada Rutinaria en Llenadora (CC &lt;=60m)</t>
        </is>
      </c>
      <c r="B5" s="4" t="inlineStr">
        <is>
          <t>Horas / Mes</t>
        </is>
      </c>
      <c r="C5" s="6" t="n">
        <v>123.52</v>
      </c>
      <c r="D5" s="6" t="n">
        <v>74.11</v>
      </c>
      <c r="E5" s="6" t="n">
        <v>-49.41</v>
      </c>
      <c r="F5" s="18" t="inlineStr">
        <is>
          <t>Meta de reducción del 40.0% sobre paradas rutinarias</t>
        </is>
      </c>
    </row>
    <row r="6" ht="22" customHeight="1">
      <c r="A6" s="14" t="inlineStr">
        <is>
          <t>Horas Netas de Producción Recuperadas</t>
        </is>
      </c>
      <c r="B6" s="4" t="inlineStr">
        <is>
          <t>Horas / Mes</t>
        </is>
      </c>
      <c r="C6" s="6" t="n">
        <v>0</v>
      </c>
      <c r="D6" s="6" t="n">
        <v>49.41</v>
      </c>
      <c r="E6" s="6" t="n">
        <v>49.41</v>
      </c>
      <c r="F6" s="18" t="inlineStr">
        <is>
          <t>Horas liberadas en el cuello de botella físico</t>
        </is>
      </c>
    </row>
    <row r="7" ht="22" customHeight="1">
      <c r="A7" s="14" t="inlineStr">
        <is>
          <t>Horas Netas Recuperadas Anualizadas</t>
        </is>
      </c>
      <c r="B7" s="4" t="inlineStr">
        <is>
          <t>Horas / Año</t>
        </is>
      </c>
      <c r="C7" s="6" t="n">
        <v>0</v>
      </c>
      <c r="D7" s="6" t="n">
        <v>592.92</v>
      </c>
      <c r="E7" s="6" t="n">
        <v>592.92</v>
      </c>
      <c r="F7" s="18" t="inlineStr">
        <is>
          <t>49.41 h/mes * 12 meses</t>
        </is>
      </c>
    </row>
    <row r="8" ht="22" customHeight="1">
      <c r="A8" s="14" t="inlineStr">
        <is>
          <t>Velocidad Real Mediana Observada</t>
        </is>
      </c>
      <c r="B8" s="4" t="inlineStr">
        <is>
          <t>Galletas / Hora</t>
        </is>
      </c>
      <c r="C8" s="19" t="n">
        <v>38506</v>
      </c>
      <c r="D8" s="19" t="n">
        <v>38506</v>
      </c>
      <c r="E8" s="19" t="n">
        <v>0</v>
      </c>
      <c r="F8" s="18" t="inlineStr">
        <is>
          <t>Velocidad de marcha demostrada en Línea 1</t>
        </is>
      </c>
    </row>
    <row r="9" ht="22" customHeight="1">
      <c r="A9" s="14" t="inlineStr">
        <is>
          <t>Galletas Brutas Extra Liberadas</t>
        </is>
      </c>
      <c r="B9" s="4" t="inlineStr">
        <is>
          <t>Galletas / Mes</t>
        </is>
      </c>
      <c r="C9" s="19" t="n">
        <v>0</v>
      </c>
      <c r="D9" s="19" t="n">
        <v>1902631</v>
      </c>
      <c r="E9" s="19" t="n">
        <v>1902631</v>
      </c>
      <c r="F9" s="18" t="inlineStr">
        <is>
          <t>49.41 h * 38,506 galletas/h</t>
        </is>
      </c>
    </row>
    <row r="10" ht="22" customHeight="1">
      <c r="A10" s="14" t="inlineStr">
        <is>
          <t>Factor de Calidad Vendible (Ajuste por Scrap de Arranque)</t>
        </is>
      </c>
      <c r="B10" s="4" t="inlineStr">
        <is>
          <t>% Vendible</t>
        </is>
      </c>
      <c r="C10" s="7" t="n">
        <v>1</v>
      </c>
      <c r="D10" s="7" t="n">
        <v>0.985</v>
      </c>
      <c r="E10" s="7" t="n">
        <v>-0.015</v>
      </c>
      <c r="F10" s="18" t="inlineStr">
        <is>
          <t>1.5% de merma en arranque de lote post-cambio</t>
        </is>
      </c>
    </row>
    <row r="11" ht="22" customHeight="1">
      <c r="A11" s="14" t="inlineStr">
        <is>
          <t>Galletas Vendibles Extra al Mes</t>
        </is>
      </c>
      <c r="B11" s="4" t="inlineStr">
        <is>
          <t>Galletas / Mes</t>
        </is>
      </c>
      <c r="C11" s="19" t="n">
        <v>0</v>
      </c>
      <c r="D11" s="19" t="n">
        <v>1874092</v>
      </c>
      <c r="E11" s="19" t="n">
        <v>1874092</v>
      </c>
      <c r="F11" s="18" t="inlineStr">
        <is>
          <t>Galletas brutas * 98.5% vendible</t>
        </is>
      </c>
    </row>
    <row r="12" ht="22" customHeight="1">
      <c r="A12" s="14" t="inlineStr">
        <is>
          <t>Galletas Vendibles Extra al Año</t>
        </is>
      </c>
      <c r="B12" s="4" t="inlineStr">
        <is>
          <t>Galletas / Año</t>
        </is>
      </c>
      <c r="C12" s="19" t="n">
        <v>0</v>
      </c>
      <c r="D12" s="19" t="n">
        <v>22489098</v>
      </c>
      <c r="E12" s="19" t="n">
        <v>22489098</v>
      </c>
      <c r="F12" s="18" t="inlineStr">
        <is>
          <t>1.87 M galletas/mes * 12 meses</t>
        </is>
      </c>
    </row>
    <row r="13" ht="22" customHeight="1">
      <c r="A13" s="14" t="inlineStr">
        <is>
          <t>Cajas de 24 Paquetes Adicionales al Año</t>
        </is>
      </c>
      <c r="B13" s="4" t="inlineStr">
        <is>
          <t>Cajas (Cases) / Año</t>
        </is>
      </c>
      <c r="C13" s="19" t="n">
        <v>0</v>
      </c>
      <c r="D13" s="19" t="n">
        <v>156174</v>
      </c>
      <c r="E13" s="19" t="n">
        <v>156174</v>
      </c>
      <c r="F13" s="18" t="inlineStr">
        <is>
          <t>22.48 M galletas / 144 galletas por caja</t>
        </is>
      </c>
    </row>
    <row r="14" ht="22" customHeight="1">
      <c r="A14" s="14" t="inlineStr">
        <is>
          <t>Margen de Contribución Unitario Estimado</t>
        </is>
      </c>
      <c r="B14" s="4" t="inlineStr">
        <is>
          <t>USD / Caja</t>
        </is>
      </c>
      <c r="C14" s="20" t="n">
        <v>3.5</v>
      </c>
      <c r="D14" s="20" t="n">
        <v>3.5</v>
      </c>
      <c r="E14" s="20" t="n">
        <v>0</v>
      </c>
      <c r="F14" s="18" t="inlineStr">
        <is>
          <t>Margen industrial promedio en galletas sandwich</t>
        </is>
      </c>
    </row>
    <row r="15" ht="22" customHeight="1">
      <c r="A15" s="14" t="inlineStr">
        <is>
          <t>Beneficio Bruto Anual por Capacidad Liberada</t>
        </is>
      </c>
      <c r="B15" s="4" t="inlineStr">
        <is>
          <t>USD / Año</t>
        </is>
      </c>
      <c r="C15" s="20" t="n">
        <v>0</v>
      </c>
      <c r="D15" s="20" t="n">
        <v>546609</v>
      </c>
      <c r="E15" s="20" t="n">
        <v>546609</v>
      </c>
      <c r="F15" s="18" t="inlineStr">
        <is>
          <t>156,174 cajas * $3.50 USD/caja</t>
        </is>
      </c>
    </row>
    <row r="16" ht="22" customHeight="1">
      <c r="A16" s="14" t="inlineStr">
        <is>
          <t>Ahorro en Horas Extras de Cuadrilla de Turno</t>
        </is>
      </c>
      <c r="B16" s="4" t="inlineStr">
        <is>
          <t>USD / Año</t>
        </is>
      </c>
      <c r="C16" s="20" t="n">
        <v>0</v>
      </c>
      <c r="D16" s="20" t="n">
        <v>35000</v>
      </c>
      <c r="E16" s="20" t="n">
        <v>35000</v>
      </c>
      <c r="F16" s="18" t="inlineStr">
        <is>
          <t>Eliminación de turnos de fin de semana para cumplir plan</t>
        </is>
      </c>
    </row>
    <row r="17" ht="22" customHeight="1">
      <c r="A17" s="14" t="inlineStr">
        <is>
          <t>Inversión Requerida (Utillajes Tri-Clamp, Carros 5S, Galgas)</t>
        </is>
      </c>
      <c r="B17" s="4" t="inlineStr">
        <is>
          <t>USD (Capex)</t>
        </is>
      </c>
      <c r="C17" s="20" t="n">
        <v>0</v>
      </c>
      <c r="D17" s="20" t="n">
        <v>4800</v>
      </c>
      <c r="E17" s="20" t="n">
        <v>4800</v>
      </c>
      <c r="F17" s="18" t="inlineStr">
        <is>
          <t>Capex Cero (Gasto menor OPEX de utillaje rápido)</t>
        </is>
      </c>
    </row>
    <row r="18" ht="22" customHeight="1">
      <c r="A18" s="14" t="inlineStr">
        <is>
          <t>Retorno de Inversión (Payback)</t>
        </is>
      </c>
      <c r="B18" s="4" t="inlineStr">
        <is>
          <t>Días</t>
        </is>
      </c>
      <c r="C18" s="6" t="n">
        <v>0</v>
      </c>
      <c r="D18" s="6" t="n">
        <v>3</v>
      </c>
      <c r="E18" s="6" t="n">
        <v>-3</v>
      </c>
      <c r="F18" s="18" t="inlineStr">
        <is>
          <t>($4,800 / $581,609 anual) * 365 días = 3 días</t>
        </is>
      </c>
    </row>
    <row r="19" ht="22" customHeight="1">
      <c r="A19" s="14" t="inlineStr">
        <is>
          <t>Alternativa de Inversión Tradicional (Nueva Llenadora)</t>
        </is>
      </c>
      <c r="B19" s="4" t="inlineStr">
        <is>
          <t>USD (Capex)</t>
        </is>
      </c>
      <c r="C19" s="20" t="n">
        <v>250000</v>
      </c>
      <c r="D19" s="20" t="n">
        <v>0</v>
      </c>
      <c r="E19" s="20" t="n">
        <v>-250000</v>
      </c>
      <c r="F19" s="18" t="inlineStr">
        <is>
          <t>Comprar otra línea requeriría $250k y 9 meses de entrega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28" customWidth="1" min="4" max="4"/>
    <col width="10" customWidth="1" min="5" max="5"/>
    <col width="14" customWidth="1" min="6" max="6"/>
    <col width="14" customWidth="1" min="7" max="7"/>
    <col width="14" customWidth="1" min="8" max="8"/>
    <col width="25" customWidth="1" min="9" max="9"/>
    <col width="15" customWidth="1" min="10" max="10"/>
    <col width="15" customWidth="1" min="11" max="11"/>
  </cols>
  <sheetData>
    <row r="1" ht="30" customHeight="1">
      <c r="A1" s="21" t="inlineStr">
        <is>
          <t>AUDITORÍA INTEGRAL PRE-MORTEM: MATRIZ AMFE (FMEA) Y ANÁLISIS DE RIESGOS EN PLANTA</t>
        </is>
      </c>
    </row>
    <row r="2" ht="20" customHeight="1">
      <c r="A2" s="22" t="inlineStr">
        <is>
          <t>Evaluación Forense de Modos de Falla: Desacople Térmico de Horno, Bloqueo de Encartonadora, Seguridad Alimentaria (ATP) y Presupuesto Real</t>
        </is>
      </c>
    </row>
    <row r="4" ht="24" customHeight="1">
      <c r="A4" s="23" t="inlineStr">
        <is>
          <t>1. MATRIZ AMFE (FMEA) DE PROCESO: ANÁLISIS CUANTITATIVO DE MODOS DE FALLA EN SMED</t>
        </is>
      </c>
    </row>
    <row r="5" ht="24" customHeight="1">
      <c r="A5" s="24" t="inlineStr">
        <is>
          <t>ID</t>
        </is>
      </c>
      <c r="B5" s="24" t="inlineStr">
        <is>
          <t>Modo de Falla Potencial</t>
        </is>
      </c>
      <c r="C5" s="24" t="inlineStr">
        <is>
          <t>Causa Raíz Operacional</t>
        </is>
      </c>
      <c r="D5" s="24" t="inlineStr">
        <is>
          <t>S</t>
        </is>
      </c>
      <c r="E5" s="24" t="inlineStr">
        <is>
          <t>O</t>
        </is>
      </c>
      <c r="F5" s="24" t="inlineStr">
        <is>
          <t>D</t>
        </is>
      </c>
      <c r="G5" s="24" t="inlineStr">
        <is>
          <t>NPR Inicial</t>
        </is>
      </c>
      <c r="H5" s="24" t="inlineStr">
        <is>
          <t>Contramedida de Ingeniería Blindada</t>
        </is>
      </c>
      <c r="I5" s="24" t="inlineStr">
        <is>
          <t>S*</t>
        </is>
      </c>
      <c r="J5" s="24" t="inlineStr">
        <is>
          <t>O*</t>
        </is>
      </c>
      <c r="K5" s="24" t="inlineStr">
        <is>
          <t>NPR Final</t>
        </is>
      </c>
    </row>
    <row r="6" ht="26" customHeight="1">
      <c r="A6" s="25" t="inlineStr">
        <is>
          <t>MF-01</t>
        </is>
      </c>
      <c r="B6" s="26" t="inlineStr">
        <is>
          <t>Inercia Térmica del Horno Túnel (Starvation)</t>
        </is>
      </c>
      <c r="C6" s="26" t="inlineStr">
        <is>
          <t>Horno tarda 35 min en estabilizar T; llenadora lista a los 15 min queda vacía</t>
        </is>
      </c>
      <c r="D6" s="25" t="n">
        <v>7</v>
      </c>
      <c r="E6" s="25" t="n">
        <v>8</v>
      </c>
      <c r="F6" s="25" t="n">
        <v>2</v>
      </c>
      <c r="G6" s="27">
        <f>D6*E6*F6</f>
        <v/>
      </c>
      <c r="H6" s="26" t="inlineStr">
        <is>
          <t>Programación Heijunka con menor delta T y preaviso a quemadores 20 min antes</t>
        </is>
      </c>
      <c r="I6" s="25" t="n">
        <v>4</v>
      </c>
      <c r="J6" s="25" t="n">
        <v>2</v>
      </c>
      <c r="K6" s="28">
        <f>I6*J6*2</f>
        <v/>
      </c>
    </row>
    <row r="7" ht="26" customHeight="1">
      <c r="A7" s="25" t="inlineStr">
        <is>
          <t>MF-02</t>
        </is>
      </c>
      <c r="B7" s="26" t="inlineStr">
        <is>
          <t>Bloqueo por Encartonadora (Downstream Choke)</t>
        </is>
      </c>
      <c r="C7" s="26" t="inlineStr">
        <is>
          <t>Encartonadora tarda hasta 276 min en formato; buffer de 3 min colapsa la llenadora</t>
        </is>
      </c>
      <c r="D7" s="25" t="n">
        <v>8</v>
      </c>
      <c r="E7" s="25" t="n">
        <v>7</v>
      </c>
      <c r="F7" s="25" t="n">
        <v>2</v>
      </c>
      <c r="G7" s="27">
        <f>D7*E7*F7</f>
        <v/>
      </c>
      <c r="H7" s="26" t="inlineStr">
        <is>
          <t>SMED simultáneo en encartonadora con galgas de ajuste rápido y control de flujo</t>
        </is>
      </c>
      <c r="I7" s="25" t="n">
        <v>4</v>
      </c>
      <c r="J7" s="25" t="n">
        <v>2</v>
      </c>
      <c r="K7" s="28">
        <f>I7*J7*2</f>
        <v/>
      </c>
    </row>
    <row r="8" ht="26" customHeight="1">
      <c r="A8" s="25" t="inlineStr">
        <is>
          <t>MF-03</t>
        </is>
      </c>
      <c r="B8" s="26" t="inlineStr">
        <is>
          <t>Contaminación Cruzada por Alérgenos</t>
        </is>
      </c>
      <c r="C8" s="26" t="inlineStr">
        <is>
          <t>Arranque a los 15 min sin validación de QA; trazas de leche en galleta sin alérgeno</t>
        </is>
      </c>
      <c r="D8" s="25" t="n">
        <v>10</v>
      </c>
      <c r="E8" s="25" t="n">
        <v>5</v>
      </c>
      <c r="F8" s="25" t="n">
        <v>6</v>
      </c>
      <c r="G8" s="27">
        <f>D8*E8*F8</f>
        <v/>
      </c>
      <c r="H8" s="26" t="inlineStr">
        <is>
          <t>Protocolo ATP al minuto 12 con luminómetro digital (&lt;30 RLU); firma digital obligatoria</t>
        </is>
      </c>
      <c r="I8" s="25" t="n">
        <v>9</v>
      </c>
      <c r="J8" s="25" t="n">
        <v>1</v>
      </c>
      <c r="K8" s="28">
        <f>I8*J8*2</f>
        <v/>
      </c>
    </row>
    <row r="9" ht="26" customHeight="1">
      <c r="A9" s="25" t="inlineStr">
        <is>
          <t>MF-04</t>
        </is>
      </c>
      <c r="B9" s="26" t="inlineStr">
        <is>
          <t>Proliferación Bacteriana en Cabezal Gemelo</t>
        </is>
      </c>
      <c r="C9" s="26" t="inlineStr">
        <is>
          <t>Cabezal lavado almacenado húmedo a 22°C incuba biofilm y Listeria monocytogenes</t>
        </is>
      </c>
      <c r="D9" s="25" t="n">
        <v>9</v>
      </c>
      <c r="E9" s="25" t="n">
        <v>6</v>
      </c>
      <c r="F9" s="25" t="n">
        <v>7</v>
      </c>
      <c r="G9" s="27">
        <f>D9*E9*F9</f>
        <v/>
      </c>
      <c r="H9" s="26" t="inlineStr">
        <is>
          <t>Secado con aire HEPA 0.01um, desinfección alcohólica 70% y bolsa sellada con vencimiento 24h</t>
        </is>
      </c>
      <c r="I9" s="25" t="n">
        <v>8</v>
      </c>
      <c r="J9" s="25" t="n">
        <v>1</v>
      </c>
      <c r="K9" s="28">
        <f>I9*J9*2</f>
        <v/>
      </c>
    </row>
    <row r="10" ht="26" customHeight="1">
      <c r="A10" s="25" t="inlineStr">
        <is>
          <t>MF-05</t>
        </is>
      </c>
      <c r="B10" s="26" t="inlineStr">
        <is>
          <t>Sinéresis y Choque Térmico de Crema</t>
        </is>
      </c>
      <c r="C10" s="26" t="inlineStr">
        <is>
          <t>Crema a 28°C sin agitación se separa; boquillas frías provocan cristalización alfa</t>
        </is>
      </c>
      <c r="D10" s="25" t="n">
        <v>6</v>
      </c>
      <c r="E10" s="25" t="n">
        <v>8</v>
      </c>
      <c r="F10" s="25" t="n">
        <v>3</v>
      </c>
      <c r="G10" s="27">
        <f>D10*E10*F10</f>
        <v/>
      </c>
      <c r="H10" s="26" t="inlineStr">
        <is>
          <t>Tanque encamisado a 30°C con raspador continuo a 15 RPM y manta térmica en carro 5S</t>
        </is>
      </c>
      <c r="I10" s="25" t="n">
        <v>3</v>
      </c>
      <c r="J10" s="25" t="n">
        <v>2</v>
      </c>
      <c r="K10" s="28">
        <f>I10*J10*2</f>
        <v/>
      </c>
    </row>
    <row r="11" ht="26" customHeight="1">
      <c r="A11" s="25" t="inlineStr">
        <is>
          <t>MF-06</t>
        </is>
      </c>
      <c r="B11" s="26" t="inlineStr">
        <is>
          <t>Lesión Lumbar por Carga de Cabezal</t>
        </is>
      </c>
      <c r="C11" s="26" t="inlineStr">
        <is>
          <t>Operador levanta solo un bloque de 32 kg excediendo límite NIOSH (Lifting Index 2.85)</t>
        </is>
      </c>
      <c r="D11" s="25" t="n">
        <v>8</v>
      </c>
      <c r="E11" s="25" t="n">
        <v>6</v>
      </c>
      <c r="F11" s="25" t="n">
        <v>2</v>
      </c>
      <c r="G11" s="27">
        <f>D11*E11*F11</f>
        <v/>
      </c>
      <c r="H11" s="26" t="inlineStr">
        <is>
          <t>Montaje obligatorio a cuatro manos y brazo pescante articulado de gravedad cero</t>
        </is>
      </c>
      <c r="I11" s="25" t="n">
        <v>2</v>
      </c>
      <c r="J11" s="25" t="n">
        <v>1</v>
      </c>
      <c r="K11" s="28">
        <f>I11*J11*1</f>
        <v/>
      </c>
    </row>
    <row r="12" ht="26" customHeight="1">
      <c r="A12" s="25" t="inlineStr">
        <is>
          <t>MF-07</t>
        </is>
      </c>
      <c r="B12" s="26" t="inlineStr">
        <is>
          <t>Saturación de Almacén de Producto Terminado</t>
        </is>
      </c>
      <c r="C12" s="26" t="inlineStr">
        <is>
          <t>271 pallets/mes adicionales saturan bodega si demanda comercial no los absorbe</t>
        </is>
      </c>
      <c r="D12" s="25" t="n">
        <v>6</v>
      </c>
      <c r="E12" s="25" t="n">
        <v>7</v>
      </c>
      <c r="F12" s="25" t="n">
        <v>3</v>
      </c>
      <c r="G12" s="27">
        <f>D12*E12*F12</f>
        <v/>
      </c>
      <c r="H12" s="26" t="inlineStr">
        <is>
          <t>Alineación quincenal S&amp;OP, lotes nivelados y contratos de distribución ágiles</t>
        </is>
      </c>
      <c r="I12" s="25" t="n">
        <v>4</v>
      </c>
      <c r="J12" s="25" t="n">
        <v>2</v>
      </c>
      <c r="K12" s="28">
        <f>I12*J12*2</f>
        <v/>
      </c>
    </row>
    <row r="14" ht="24" customHeight="1">
      <c r="A14" s="23" t="inlineStr">
        <is>
          <t>2. PRESUPUESTO REAL DE INGENIERÍA Y ADQUISICIONES AUDITADO (CAPEX DEFENDIBLE)</t>
        </is>
      </c>
    </row>
    <row r="15" ht="22" customHeight="1">
      <c r="A15" s="29" t="inlineStr">
        <is>
          <t>Item</t>
        </is>
      </c>
      <c r="B15" s="29" t="inlineStr">
        <is>
          <t>Descripción del Activo / Dispositivo Sanitario</t>
        </is>
      </c>
      <c r="D15" s="29" t="inlineStr">
        <is>
          <t>Especificación Técnica de Ingeniería</t>
        </is>
      </c>
      <c r="F15" s="29" t="inlineStr">
        <is>
          <t>Costo Fase 3 (Inicial)</t>
        </is>
      </c>
      <c r="G15" s="29" t="inlineStr">
        <is>
          <t>Costo Auditado (Real)</t>
        </is>
      </c>
      <c r="H15" s="29" t="inlineStr">
        <is>
          <t>Delta ($ USD)</t>
        </is>
      </c>
      <c r="I15" s="29" t="inlineStr">
        <is>
          <t>Justificación Técnica de Auditoría</t>
        </is>
      </c>
    </row>
    <row r="16" ht="22" customHeight="1">
      <c r="A16" s="25" t="inlineStr">
        <is>
          <t>1</t>
        </is>
      </c>
      <c r="B16" s="26" t="inlineStr">
        <is>
          <t>Cabezal Gemelo de Boquillas</t>
        </is>
      </c>
      <c r="C16" s="30" t="n"/>
      <c r="D16" s="26" t="inlineStr">
        <is>
          <t>Monobloque CNC en acero inoxidable AISI 316L con 12 pistones de precisión</t>
        </is>
      </c>
      <c r="E16" s="30" t="n"/>
      <c r="F16" s="31" t="n">
        <v>2200</v>
      </c>
      <c r="G16" s="31" t="n">
        <v>9500</v>
      </c>
      <c r="H16" s="31">
        <f>G16-F16</f>
        <v/>
      </c>
      <c r="I16" s="26" t="inlineStr">
        <is>
          <t>Costos reales de mecanizado sanitario de alta precisión para alimentos</t>
        </is>
      </c>
      <c r="J16" s="30" t="n"/>
      <c r="K16" s="30" t="n"/>
    </row>
    <row r="17" ht="22" customHeight="1">
      <c r="A17" s="25" t="inlineStr">
        <is>
          <t>2</t>
        </is>
      </c>
      <c r="B17" s="26" t="inlineStr">
        <is>
          <t>Tanque Pulmón Encamisado</t>
        </is>
      </c>
      <c r="C17" s="30" t="n"/>
      <c r="D17" s="26" t="inlineStr">
        <is>
          <t>Tanque móvil de 150L con camisa eléctrica a 30°C y raspador de bajas RPM</t>
        </is>
      </c>
      <c r="E17" s="30" t="n"/>
      <c r="F17" s="31" t="n">
        <v>0</v>
      </c>
      <c r="G17" s="31" t="n">
        <v>5200</v>
      </c>
      <c r="H17" s="31">
        <f>G17-F17</f>
        <v/>
      </c>
      <c r="I17" s="26" t="inlineStr">
        <is>
          <t>Evita la sinéresis y la separación de grasas en la crema de relleno</t>
        </is>
      </c>
      <c r="J17" s="30" t="n"/>
      <c r="K17" s="30" t="n"/>
    </row>
    <row r="18" ht="22" customHeight="1">
      <c r="A18" s="25" t="inlineStr">
        <is>
          <t>3</t>
        </is>
      </c>
      <c r="B18" s="26" t="inlineStr">
        <is>
          <t>Brazo Pescante Ergonómico</t>
        </is>
      </c>
      <c r="C18" s="30" t="n"/>
      <c r="D18" s="26" t="inlineStr">
        <is>
          <t>Polipasto neumático balanceado de gravedad cero anclado a estructura</t>
        </is>
      </c>
      <c r="E18" s="30" t="n"/>
      <c r="F18" s="31" t="n">
        <v>0</v>
      </c>
      <c r="G18" s="31" t="n">
        <v>3800</v>
      </c>
      <c r="H18" s="31">
        <f>G18-F18</f>
        <v/>
      </c>
      <c r="I18" s="26" t="inlineStr">
        <is>
          <t>Cumplimiento estricto de norma NIOSH / ISO 11228-1 para carga de 32 kg</t>
        </is>
      </c>
      <c r="J18" s="30" t="n"/>
      <c r="K18" s="30" t="n"/>
    </row>
    <row r="19" ht="22" customHeight="1">
      <c r="A19" s="25" t="inlineStr">
        <is>
          <t>4</t>
        </is>
      </c>
      <c r="B19" s="26" t="inlineStr">
        <is>
          <t>Carro Móvil 5S Sanitario</t>
        </is>
      </c>
      <c r="C19" s="30" t="n"/>
      <c r="D19" s="26" t="inlineStr">
        <is>
          <t>Estructura en acero inoxidable con manta calefactora para atemperar utillaje</t>
        </is>
      </c>
      <c r="E19" s="30" t="n"/>
      <c r="F19" s="31" t="n">
        <v>1800</v>
      </c>
      <c r="G19" s="31" t="n">
        <v>2100</v>
      </c>
      <c r="H19" s="31">
        <f>G19-F19</f>
        <v/>
      </c>
      <c r="I19" s="26" t="inlineStr">
        <is>
          <t>Incluye sistema térmico para evitar choque frío en boquillas dosificadoras</t>
        </is>
      </c>
      <c r="J19" s="30" t="n"/>
      <c r="K19" s="30" t="n"/>
    </row>
    <row r="20" ht="22" customHeight="1">
      <c r="A20" s="25" t="inlineStr">
        <is>
          <t>5</t>
        </is>
      </c>
      <c r="B20" s="26" t="inlineStr">
        <is>
          <t>Galgas Poka-Yoke y Tri-Clamps</t>
        </is>
      </c>
      <c r="C20" s="30" t="n"/>
      <c r="D20" s="26" t="inlineStr">
        <is>
          <t>6 galgas rectificadas de precisión + 8 abrazaderas Tri-Clamp sanitarias 3A</t>
        </is>
      </c>
      <c r="E20" s="30" t="n"/>
      <c r="F20" s="31" t="n">
        <v>800</v>
      </c>
      <c r="G20" s="31" t="n">
        <v>1200</v>
      </c>
      <c r="H20" s="31">
        <f>G20-F20</f>
        <v/>
      </c>
      <c r="I20" s="26" t="inlineStr">
        <is>
          <t>Abrazaderas con certificación 3A para contacto directo con alimentos</t>
        </is>
      </c>
      <c r="J20" s="30" t="n"/>
      <c r="K20" s="30" t="n"/>
    </row>
    <row r="21" ht="22" customHeight="1">
      <c r="A21" s="25" t="inlineStr">
        <is>
          <t>6</t>
        </is>
      </c>
      <c r="B21" s="26" t="inlineStr">
        <is>
          <t>Luminómetro Digital ATP y Swabs</t>
        </is>
      </c>
      <c r="C21" s="30" t="n"/>
      <c r="D21" s="26" t="inlineStr">
        <is>
          <t>Equipo Hygiena EnSURE Touch + 200 hisopos UltraSnap de bioluminiscencia</t>
        </is>
      </c>
      <c r="E21" s="30" t="n"/>
      <c r="F21" s="31" t="n">
        <v>0</v>
      </c>
      <c r="G21" s="31" t="n">
        <v>2000</v>
      </c>
      <c r="H21" s="31">
        <f>G21-F21</f>
        <v/>
      </c>
      <c r="I21" s="26" t="inlineStr">
        <is>
          <t>Garantiza liberación microbiológica formal en 2 minutos antes de arrancar</t>
        </is>
      </c>
      <c r="J21" s="30" t="n"/>
      <c r="K21" s="30" t="n"/>
    </row>
    <row r="22" ht="24" customHeight="1">
      <c r="A22" s="32" t="inlineStr">
        <is>
          <t>TOTAL INVERSIÓN DE PROYECTO AUDITADA</t>
        </is>
      </c>
      <c r="B22" s="33" t="n"/>
      <c r="C22" s="33" t="n"/>
      <c r="D22" s="33" t="n"/>
      <c r="E22" s="33" t="n"/>
      <c r="F22" s="34">
        <f>SUM(F16:F21)</f>
        <v/>
      </c>
      <c r="G22" s="35">
        <f>SUM(G16:G21)</f>
        <v/>
      </c>
      <c r="H22" s="34">
        <f>SUM(H16:H21)</f>
        <v/>
      </c>
      <c r="I22" s="36" t="inlineStr">
        <is>
          <t>Payback Auditado: 14.9 Días (Frente a 9 meses de una línea nueva de )</t>
        </is>
      </c>
      <c r="J22" s="33" t="n"/>
      <c r="K22" s="33" t="n"/>
    </row>
  </sheetData>
  <mergeCells count="27">
    <mergeCell ref="I16:K16"/>
    <mergeCell ref="D20:E20"/>
    <mergeCell ref="B16:C16"/>
    <mergeCell ref="I22:K22"/>
    <mergeCell ref="D19:E19"/>
    <mergeCell ref="I18:K18"/>
    <mergeCell ref="B18:C18"/>
    <mergeCell ref="I21:K21"/>
    <mergeCell ref="A1:K1"/>
    <mergeCell ref="D21:E21"/>
    <mergeCell ref="B21:C21"/>
    <mergeCell ref="I17:K17"/>
    <mergeCell ref="B17:C17"/>
    <mergeCell ref="I20:K20"/>
    <mergeCell ref="D17:E17"/>
    <mergeCell ref="I19:K19"/>
    <mergeCell ref="D16:E16"/>
    <mergeCell ref="B19:C19"/>
    <mergeCell ref="A2:K2"/>
    <mergeCell ref="D18:E18"/>
    <mergeCell ref="A14:K14"/>
    <mergeCell ref="A22:E22"/>
    <mergeCell ref="I15:K15"/>
    <mergeCell ref="A4:K4"/>
    <mergeCell ref="B15:C15"/>
    <mergeCell ref="D15:E1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2026-09-15T02:04:13Z</dcterms:created>
  <dcterms:modified xmlns:dcterms="http://purl.org/dc/terms/" xmlns:xsi="http://www.w3.org/2001/XMLSchema-instance" xsi:type="dcterms:W3CDTF">2026-09-15T02:18:55Z</dcterms:modified>
</cp:coreProperties>
</file>